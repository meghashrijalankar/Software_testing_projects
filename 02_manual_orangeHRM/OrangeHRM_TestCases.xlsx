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06F0272-1EB3-40A9-A08F-01D70F61686B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Test Cases" sheetId="1" r:id="rId1"/>
    <sheet name="Summary" sheetId="2" r:id="rId2"/>
  </sheets>
  <definedNames>
    <definedName name="_xlnm._FilterDatabase" localSheetId="0" hidden="1">'Test Cases'!$A$4:$J$35</definedName>
    <definedName name="_xlnm.Print_Titles" localSheetId="0">'Test Cases'!$4:$4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" i="2" l="1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B4" i="2"/>
  <c r="B9" i="2" l="1"/>
  <c r="C4" i="2"/>
  <c r="E4" i="2"/>
  <c r="F4" i="2"/>
  <c r="F9" i="2" s="1"/>
  <c r="D4" i="2"/>
  <c r="D9" i="2" s="1"/>
  <c r="C9" i="2"/>
  <c r="E9" i="2"/>
</calcChain>
</file>

<file path=xl/sharedStrings.xml><?xml version="1.0" encoding="utf-8"?>
<sst xmlns="http://schemas.openxmlformats.org/spreadsheetml/2006/main" count="274" uniqueCount="191">
  <si>
    <t>Project Name: OrangeHRM    Modules: Login, PIM, Leave / Time Off, Time and Attendance, Recruitment / ATS</t>
  </si>
  <si>
    <t>Test Case ID</t>
  </si>
  <si>
    <t>Test Scenario</t>
  </si>
  <si>
    <t>Test Case Title</t>
  </si>
  <si>
    <t>Pre-requisites</t>
  </si>
  <si>
    <t>Test Steps</t>
  </si>
  <si>
    <t>Test Data</t>
  </si>
  <si>
    <t>Expected Result</t>
  </si>
  <si>
    <t>Actual Result</t>
  </si>
  <si>
    <t>Priority</t>
  </si>
  <si>
    <t>TC_001</t>
  </si>
  <si>
    <t>Login</t>
  </si>
  <si>
    <t>Verify login with valid credentials</t>
  </si>
  <si>
    <t>User is on the login page</t>
  </si>
  <si>
    <t>1. Enter valid username
2. Enter valid password
3. Click Login</t>
  </si>
  <si>
    <t>Username: Admin
Password: admin123</t>
  </si>
  <si>
    <t>Dashboard opens successfully</t>
  </si>
  <si>
    <t>Not Executed</t>
  </si>
  <si>
    <t>High</t>
  </si>
  <si>
    <t>TC_002</t>
  </si>
  <si>
    <t>Verify login with invalid credentials</t>
  </si>
  <si>
    <t>1. Enter wrong username and password
2. Click Login</t>
  </si>
  <si>
    <t>Username: abc
Password: wrong</t>
  </si>
  <si>
    <t>Error message is shown</t>
  </si>
  <si>
    <t>TC_003</t>
  </si>
  <si>
    <t>Verify login with blank fields</t>
  </si>
  <si>
    <t>1. Leave username and password empty
2. Click Login</t>
  </si>
  <si>
    <t>Blank</t>
  </si>
  <si>
    <t>Required field message is shown</t>
  </si>
  <si>
    <t>Medium</t>
  </si>
  <si>
    <t>TC_004</t>
  </si>
  <si>
    <t>Verify user can navigate to the Admin page</t>
  </si>
  <si>
    <t>User is logged in</t>
  </si>
  <si>
    <t>1. Click Admin in the sidebar</t>
  </si>
  <si>
    <t>N/A</t>
  </si>
  <si>
    <t>Admin page opens</t>
  </si>
  <si>
    <t>TC_005</t>
  </si>
  <si>
    <t>Verify user can log out</t>
  </si>
  <si>
    <t>1. Click the profile menu
2. Click Logout</t>
  </si>
  <si>
    <t>User is redirected to the login page</t>
  </si>
  <si>
    <t>TC_006</t>
  </si>
  <si>
    <t>Verify browser back button behavior</t>
  </si>
  <si>
    <t>1. Navigate to PIM
2. Click the browser Back button</t>
  </si>
  <si>
    <t>User stays logged in</t>
  </si>
  <si>
    <t>TC_007</t>
  </si>
  <si>
    <t>Verify application behavior with multiple tabs</t>
  </si>
  <si>
    <t>1. Open Admin in a new tab
2. Open PIM in another tab</t>
  </si>
  <si>
    <t>System handles multiple tabs correctly</t>
  </si>
  <si>
    <t>Low</t>
  </si>
  <si>
    <t>TC_008</t>
  </si>
  <si>
    <t>Verify session timeout</t>
  </si>
  <si>
    <t>1. Stay idle for an extended period</t>
  </si>
  <si>
    <t>Session expires and user is redirected to the login page</t>
  </si>
  <si>
    <t>TC_009</t>
  </si>
  <si>
    <t>Verify dashboard load on a slow network</t>
  </si>
  <si>
    <t>1. Simulate a slow network
2. Load the dashboard</t>
  </si>
  <si>
    <t>Network: Slow</t>
  </si>
  <si>
    <t>Application loads without breaking</t>
  </si>
  <si>
    <t>TC_010</t>
  </si>
  <si>
    <t>PIM (Personal Information Management)</t>
  </si>
  <si>
    <t>Verify user can add an employee</t>
  </si>
  <si>
    <t>User is logged in and on the PIM page</t>
  </si>
  <si>
    <t>1. Click Add
2. Fill in the employee details
3. Click Save</t>
  </si>
  <si>
    <t>Name: Sara
Employee ID: 1101</t>
  </si>
  <si>
    <t>Employee is created successfully</t>
  </si>
  <si>
    <t>TC_011</t>
  </si>
  <si>
    <t>Verify user can search for an employee</t>
  </si>
  <si>
    <t>User is logged in and the employee exists</t>
  </si>
  <si>
    <t>1. Open PIM
2. Search by employee name</t>
  </si>
  <si>
    <t>Name: Sara</t>
  </si>
  <si>
    <t>Employee is found in the results</t>
  </si>
  <si>
    <t>TC_012</t>
  </si>
  <si>
    <t>Verify search for a non-existing employee</t>
  </si>
  <si>
    <t>1. Open PIM
2. Search for a random employee name</t>
  </si>
  <si>
    <t>Name: XYZ123</t>
  </si>
  <si>
    <t>No Records Found message is shown</t>
  </si>
  <si>
    <t>TC_013</t>
  </si>
  <si>
    <t>Verify add employee without mandatory fields</t>
  </si>
  <si>
    <t>User is logged in and on the Add Employee page</t>
  </si>
  <si>
    <t>1. Leave First Name empty
2. Click Save</t>
  </si>
  <si>
    <t>First Name: Blank</t>
  </si>
  <si>
    <t>Validation error is shown</t>
  </si>
  <si>
    <t>TC_014</t>
  </si>
  <si>
    <t>Verify page refresh during add employee form fill</t>
  </si>
  <si>
    <t>1. Enter employee details
2. Refresh the page</t>
  </si>
  <si>
    <t>Employee details (any)</t>
  </si>
  <si>
    <t>Entered data is reset</t>
  </si>
  <si>
    <t>TC_015</t>
  </si>
  <si>
    <t>Leave / Time Off</t>
  </si>
  <si>
    <t>Verify user can apply for leave</t>
  </si>
  <si>
    <t>1. Go to Leave
2. Click Apply
3. Fill in the form
4. Click Submit</t>
  </si>
  <si>
    <t>Leave Type: Annual
Date: 12 Jan</t>
  </si>
  <si>
    <t>Leave is applied successfully</t>
  </si>
  <si>
    <t>TC_016</t>
  </si>
  <si>
    <t>Verify apply leave without a date</t>
  </si>
  <si>
    <t>1. Open Leave
2. Click Apply
3. Click Submit without selecting a date</t>
  </si>
  <si>
    <t>Date: Missing</t>
  </si>
  <si>
    <t>TC_017</t>
  </si>
  <si>
    <t>Time and Attendance</t>
  </si>
  <si>
    <t>Verify employee can punch in</t>
  </si>
  <si>
    <t>User is logged in and has not punched in today</t>
  </si>
  <si>
    <t>1. Go to Time &gt; Attendance &gt; Punch In/Out
2. Add an optional note
3. Click In</t>
  </si>
  <si>
    <t>Note: Starting work</t>
  </si>
  <si>
    <t>Punch-in time is recorded and the Out option is shown</t>
  </si>
  <si>
    <t>TC_018</t>
  </si>
  <si>
    <t>Verify employee can punch out</t>
  </si>
  <si>
    <t>User is logged in and has punched in</t>
  </si>
  <si>
    <t>1. Go to Time &gt; Attendance &gt; Punch In/Out
2. Add an optional note
3. Click Out</t>
  </si>
  <si>
    <t>Note: Done for the day</t>
  </si>
  <si>
    <t>Punch-out time is recorded successfully</t>
  </si>
  <si>
    <t>TC_019</t>
  </si>
  <si>
    <t>Verify punch-out time earlier than punch-in time is rejected</t>
  </si>
  <si>
    <t>1. Go to Time &gt; Attendance &gt; Punch In/Out
2. Enter a punch-out time earlier than the punch-in time
3. Click Out</t>
  </si>
  <si>
    <t>Punch-out time: before punch-in</t>
  </si>
  <si>
    <t>Validation error is shown and the record is not saved</t>
  </si>
  <si>
    <t>TC_020</t>
  </si>
  <si>
    <t>Verify attendance records can be viewed</t>
  </si>
  <si>
    <t>User is logged in and attendance records exist</t>
  </si>
  <si>
    <t>1. Go to Time &gt; Attendance &gt; My Records
2. Select a date
3. Click View</t>
  </si>
  <si>
    <t>Date: a date with records</t>
  </si>
  <si>
    <t>Attendance records for the selected date are displayed</t>
  </si>
  <si>
    <t>TC_021</t>
  </si>
  <si>
    <t>Verify user can create and save a timesheet</t>
  </si>
  <si>
    <t>1. Go to Time &gt; Timesheets &gt; My Timesheets
2. Click Edit
3. Select project and activity
4. Enter hours
5. Click Save</t>
  </si>
  <si>
    <t>Project: any
Activity: any
Hours: 8</t>
  </si>
  <si>
    <t>Timesheet is saved successfully</t>
  </si>
  <si>
    <t>TC_022</t>
  </si>
  <si>
    <t>Verify user can submit a timesheet</t>
  </si>
  <si>
    <t>User is logged in and a saved timesheet exists</t>
  </si>
  <si>
    <t>1. Go to Time &gt; Timesheets &gt; My Timesheets
2. Click Submit</t>
  </si>
  <si>
    <t>Saved timesheet</t>
  </si>
  <si>
    <t>Timesheet status changes to Submitted</t>
  </si>
  <si>
    <t>TC_023</t>
  </si>
  <si>
    <t>Verify timesheet rejects invalid hours</t>
  </si>
  <si>
    <t>1. Go to Time &gt; Timesheets &gt; My Timesheets
2. Click Edit
3. Enter more than 24 hours for one day
4. Click Save</t>
  </si>
  <si>
    <t>Hours: 25</t>
  </si>
  <si>
    <t>Validation error is shown and the timesheet is not saved</t>
  </si>
  <si>
    <t>TC_024</t>
  </si>
  <si>
    <t>Recruitment / ATS</t>
  </si>
  <si>
    <t>Verify user can add a vacancy</t>
  </si>
  <si>
    <t>User is logged in as Admin</t>
  </si>
  <si>
    <t>1. Go to Recruitment &gt; Vacancies
2. Click Add
3. Enter vacancy name, job title and hiring manager
4. Click Save</t>
  </si>
  <si>
    <t>Vacancy Name: QA Engineer
Job Title: any
Hiring Manager: any</t>
  </si>
  <si>
    <t>Vacancy is created successfully</t>
  </si>
  <si>
    <t>TC_025</t>
  </si>
  <si>
    <t>Verify add vacancy without mandatory fields</t>
  </si>
  <si>
    <t>1. Go to Recruitment &gt; Vacancies
2. Click Add
3. Leave mandatory fields empty
4. Click Save</t>
  </si>
  <si>
    <t>Vacancy Name: Blank</t>
  </si>
  <si>
    <t>Required field messages are shown</t>
  </si>
  <si>
    <t>TC_026</t>
  </si>
  <si>
    <t>Verify user can add a candidate</t>
  </si>
  <si>
    <t>User is logged in as Admin and a vacancy exists</t>
  </si>
  <si>
    <t>1. Go to Recruitment &gt; Candidates
2. Click Add
3. Enter first name, last name, email and vacancy
4. Click Save</t>
  </si>
  <si>
    <t>First Name: Rahul
Last Name: Patil
Email: rahul.patil@example.com</t>
  </si>
  <si>
    <t>Candidate is added successfully</t>
  </si>
  <si>
    <t>TC_027</t>
  </si>
  <si>
    <t>Verify add candidate with invalid email</t>
  </si>
  <si>
    <t>1. Go to Recruitment &gt; Candidates
2. Click Add
3. Enter an invalid email
4. Click Save</t>
  </si>
  <si>
    <t>Email: rahul.patil@</t>
  </si>
  <si>
    <t>Invalid email format error is shown</t>
  </si>
  <si>
    <t>TC_028</t>
  </si>
  <si>
    <t>Verify user can search for a candidate</t>
  </si>
  <si>
    <t>User is logged in as Admin and the candidate exists</t>
  </si>
  <si>
    <t>1. Go to Recruitment &gt; Candidates
2. Enter the candidate name
3. Click Search</t>
  </si>
  <si>
    <t>Candidate Name: Rahul Patil</t>
  </si>
  <si>
    <t>Candidate is found in the results</t>
  </si>
  <si>
    <t>TC_029</t>
  </si>
  <si>
    <t>Verify user can shortlist a candidate</t>
  </si>
  <si>
    <t>User is logged in as Admin and the candidate has applied</t>
  </si>
  <si>
    <t>1. Open the candidate
2. Click Shortlist
3. Click Save</t>
  </si>
  <si>
    <t>Candidate: Rahul Patil</t>
  </si>
  <si>
    <t>Candidate status changes to Shortlisted</t>
  </si>
  <si>
    <t>TC_030</t>
  </si>
  <si>
    <t>Verify user can schedule an interview</t>
  </si>
  <si>
    <t>User is logged in as Admin and the candidate is shortlisted</t>
  </si>
  <si>
    <t>1. Open the candidate
2. Click Schedule Interview
3. Enter interview title, interviewer, date and time
4. Click Save</t>
  </si>
  <si>
    <t>Interview Title: Round 1
Interviewer: any
Date/Time: any</t>
  </si>
  <si>
    <t>Candidate status changes to Interview Scheduled</t>
  </si>
  <si>
    <t>TC_031</t>
  </si>
  <si>
    <t>Verify user can reject a candidate</t>
  </si>
  <si>
    <t>1. Open the candidate
2. Click Reject
3. Click Save</t>
  </si>
  <si>
    <t>Candidate status changes to Rejected</t>
  </si>
  <si>
    <t>Test Case Summary by Module</t>
  </si>
  <si>
    <t>Module</t>
  </si>
  <si>
    <t>Total</t>
  </si>
  <si>
    <t>Pass</t>
  </si>
  <si>
    <t>Fail</t>
  </si>
  <si>
    <t>Blocked</t>
  </si>
  <si>
    <t>Note: Status counts update automatically when the Status column on the Test Cases sheet is changed.</t>
  </si>
  <si>
    <t>Created By: Meghashri Jalankar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</si>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</sst>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b/>
      <sz val="11"/>
      <name val="Arial"/>
      <family val="2"/>
    </font>
    <font>
      <b/>
      <sz val="12"/>
      <name val="Arial"/>
      <family val="2"/>
    </font>
    <font>
      <sz val="12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EAF2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336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2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0" fillId="8" borderId="0" xfId="0" applyFill="1"/>
    <xf numFmtId="0" fontId="7" fillId="5" borderId="1" xfId="0" applyFont="1" applyFill="1" applyBorder="1" applyAlignment="1">
      <alignment horizontal="center" vertical="center" wrapText="1"/>
    </xf>
    <xf numFmtId="0" fontId="8" fillId="4" borderId="0" xfId="0" applyFont="1" applyFill="1"/>
    <xf numFmtId="0" fontId="6" fillId="6" borderId="0" xfId="0" applyFont="1" applyFill="1" applyAlignment="1">
      <alignment horizontal="left" vertical="center"/>
    </xf>
    <xf numFmtId="0" fontId="7" fillId="6" borderId="0" xfId="0" applyFont="1" applyFill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"/>
  <sheetViews>
    <sheetView tabSelected="1" zoomScaleNormal="100" workbookViewId="0">
      <pane xSplit="3" ySplit="4" topLeftCell="G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ColWidth="8.6640625" defaultRowHeight="14.4" x14ac:dyDescent="0.3"/>
  <cols>
    <col min="1" max="1" width="18.88671875" bestFit="1" customWidth="1"/>
    <col min="2" max="2" width="25.88671875" customWidth="1"/>
    <col min="3" max="3" width="46.77734375" customWidth="1"/>
    <col min="4" max="4" width="34" customWidth="1"/>
    <col min="5" max="5" width="46" customWidth="1"/>
    <col min="6" max="6" width="30" customWidth="1"/>
    <col min="7" max="7" width="38" customWidth="1"/>
    <col min="8" max="8" width="28" customWidth="1"/>
    <col min="9" max="9" width="21.33203125" customWidth="1"/>
    <col min="10" max="10" width="11" customWidth="1"/>
  </cols>
  <sheetData>
    <row r="1" spans="1:10" ht="46.8" customHeight="1" x14ac:dyDescent="0.3">
      <c r="A1" s="15" t="s">
        <v>0</v>
      </c>
      <c r="B1" s="15"/>
      <c r="C1" s="15"/>
      <c r="D1" s="15"/>
    </row>
    <row r="2" spans="1:10" ht="27" customHeight="1" x14ac:dyDescent="0.3">
      <c r="A2" s="16" t="s">
        <v>189</v>
      </c>
      <c r="B2" s="16"/>
    </row>
    <row r="4" spans="1:10" s="14" customFormat="1" ht="24" customHeight="1" x14ac:dyDescent="0.3">
      <c r="A4" s="13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190</v>
      </c>
      <c r="J4" s="13" t="s">
        <v>9</v>
      </c>
    </row>
    <row r="5" spans="1:10" ht="39.6" x14ac:dyDescent="0.3">
      <c r="A5" s="2" t="s">
        <v>10</v>
      </c>
      <c r="B5" s="2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/>
      <c r="I5" s="3"/>
      <c r="J5" s="2" t="s">
        <v>18</v>
      </c>
    </row>
    <row r="6" spans="1:10" ht="26.4" x14ac:dyDescent="0.3">
      <c r="A6" s="2" t="s">
        <v>19</v>
      </c>
      <c r="B6" s="2" t="s">
        <v>11</v>
      </c>
      <c r="C6" s="3" t="s">
        <v>20</v>
      </c>
      <c r="D6" s="3" t="s">
        <v>13</v>
      </c>
      <c r="E6" s="3" t="s">
        <v>21</v>
      </c>
      <c r="F6" s="3" t="s">
        <v>22</v>
      </c>
      <c r="G6" s="3" t="s">
        <v>23</v>
      </c>
      <c r="H6" s="3"/>
      <c r="I6" s="3"/>
      <c r="J6" s="2" t="s">
        <v>18</v>
      </c>
    </row>
    <row r="7" spans="1:10" ht="26.4" x14ac:dyDescent="0.3">
      <c r="A7" s="2" t="s">
        <v>24</v>
      </c>
      <c r="B7" s="2" t="s">
        <v>11</v>
      </c>
      <c r="C7" s="3" t="s">
        <v>25</v>
      </c>
      <c r="D7" s="3" t="s">
        <v>13</v>
      </c>
      <c r="E7" s="3" t="s">
        <v>26</v>
      </c>
      <c r="F7" s="3" t="s">
        <v>27</v>
      </c>
      <c r="G7" s="3" t="s">
        <v>28</v>
      </c>
      <c r="H7" s="3"/>
      <c r="I7" s="3"/>
      <c r="J7" s="2" t="s">
        <v>29</v>
      </c>
    </row>
    <row r="8" spans="1:10" x14ac:dyDescent="0.3">
      <c r="A8" s="2" t="s">
        <v>30</v>
      </c>
      <c r="B8" s="2" t="s">
        <v>11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35</v>
      </c>
      <c r="H8" s="3"/>
      <c r="I8" s="3"/>
      <c r="J8" s="2" t="s">
        <v>29</v>
      </c>
    </row>
    <row r="9" spans="1:10" ht="26.4" x14ac:dyDescent="0.3">
      <c r="A9" s="2" t="s">
        <v>36</v>
      </c>
      <c r="B9" s="2" t="s">
        <v>11</v>
      </c>
      <c r="C9" s="3" t="s">
        <v>37</v>
      </c>
      <c r="D9" s="3" t="s">
        <v>32</v>
      </c>
      <c r="E9" s="3" t="s">
        <v>38</v>
      </c>
      <c r="F9" s="3" t="s">
        <v>34</v>
      </c>
      <c r="G9" s="3" t="s">
        <v>39</v>
      </c>
      <c r="H9" s="3"/>
      <c r="I9" s="3"/>
      <c r="J9" s="2" t="s">
        <v>18</v>
      </c>
    </row>
    <row r="10" spans="1:10" ht="26.4" x14ac:dyDescent="0.3">
      <c r="A10" s="2" t="s">
        <v>40</v>
      </c>
      <c r="B10" s="2" t="s">
        <v>11</v>
      </c>
      <c r="C10" s="3" t="s">
        <v>41</v>
      </c>
      <c r="D10" s="3" t="s">
        <v>32</v>
      </c>
      <c r="E10" s="3" t="s">
        <v>42</v>
      </c>
      <c r="F10" s="3" t="s">
        <v>34</v>
      </c>
      <c r="G10" s="3" t="s">
        <v>43</v>
      </c>
      <c r="H10" s="3"/>
      <c r="I10" s="3"/>
      <c r="J10" s="2" t="s">
        <v>29</v>
      </c>
    </row>
    <row r="11" spans="1:10" ht="26.4" x14ac:dyDescent="0.3">
      <c r="A11" s="2" t="s">
        <v>44</v>
      </c>
      <c r="B11" s="2" t="s">
        <v>11</v>
      </c>
      <c r="C11" s="3" t="s">
        <v>45</v>
      </c>
      <c r="D11" s="3" t="s">
        <v>32</v>
      </c>
      <c r="E11" s="3" t="s">
        <v>46</v>
      </c>
      <c r="F11" s="3" t="s">
        <v>34</v>
      </c>
      <c r="G11" s="3" t="s">
        <v>47</v>
      </c>
      <c r="H11" s="3"/>
      <c r="I11" s="3"/>
      <c r="J11" s="2" t="s">
        <v>48</v>
      </c>
    </row>
    <row r="12" spans="1:10" ht="26.4" x14ac:dyDescent="0.3">
      <c r="A12" s="2" t="s">
        <v>49</v>
      </c>
      <c r="B12" s="2" t="s">
        <v>11</v>
      </c>
      <c r="C12" s="3" t="s">
        <v>50</v>
      </c>
      <c r="D12" s="3" t="s">
        <v>32</v>
      </c>
      <c r="E12" s="3" t="s">
        <v>51</v>
      </c>
      <c r="F12" s="3" t="s">
        <v>34</v>
      </c>
      <c r="G12" s="3" t="s">
        <v>52</v>
      </c>
      <c r="H12" s="3"/>
      <c r="I12" s="3"/>
      <c r="J12" s="2" t="s">
        <v>29</v>
      </c>
    </row>
    <row r="13" spans="1:10" ht="26.4" x14ac:dyDescent="0.3">
      <c r="A13" s="2" t="s">
        <v>53</v>
      </c>
      <c r="B13" s="2" t="s">
        <v>11</v>
      </c>
      <c r="C13" s="3" t="s">
        <v>54</v>
      </c>
      <c r="D13" s="3" t="s">
        <v>32</v>
      </c>
      <c r="E13" s="3" t="s">
        <v>55</v>
      </c>
      <c r="F13" s="3" t="s">
        <v>56</v>
      </c>
      <c r="G13" s="3" t="s">
        <v>57</v>
      </c>
      <c r="H13" s="3"/>
      <c r="I13" s="3"/>
      <c r="J13" s="2" t="s">
        <v>48</v>
      </c>
    </row>
    <row r="14" spans="1:10" s="12" customFormat="1" ht="39.6" x14ac:dyDescent="0.3">
      <c r="A14" s="10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 t="s">
        <v>63</v>
      </c>
      <c r="G14" s="11" t="s">
        <v>64</v>
      </c>
      <c r="H14" s="11"/>
      <c r="I14" s="11"/>
      <c r="J14" s="10" t="s">
        <v>18</v>
      </c>
    </row>
    <row r="15" spans="1:10" s="12" customFormat="1" ht="26.4" x14ac:dyDescent="0.3">
      <c r="A15" s="10" t="s">
        <v>65</v>
      </c>
      <c r="B15" s="11" t="s">
        <v>59</v>
      </c>
      <c r="C15" s="11" t="s">
        <v>66</v>
      </c>
      <c r="D15" s="11" t="s">
        <v>67</v>
      </c>
      <c r="E15" s="11" t="s">
        <v>68</v>
      </c>
      <c r="F15" s="11" t="s">
        <v>69</v>
      </c>
      <c r="G15" s="11" t="s">
        <v>70</v>
      </c>
      <c r="H15" s="11"/>
      <c r="I15" s="11"/>
      <c r="J15" s="10" t="s">
        <v>18</v>
      </c>
    </row>
    <row r="16" spans="1:10" s="12" customFormat="1" ht="26.4" x14ac:dyDescent="0.3">
      <c r="A16" s="10" t="s">
        <v>71</v>
      </c>
      <c r="B16" s="11" t="s">
        <v>59</v>
      </c>
      <c r="C16" s="11" t="s">
        <v>72</v>
      </c>
      <c r="D16" s="11" t="s">
        <v>61</v>
      </c>
      <c r="E16" s="11" t="s">
        <v>73</v>
      </c>
      <c r="F16" s="11" t="s">
        <v>74</v>
      </c>
      <c r="G16" s="11" t="s">
        <v>75</v>
      </c>
      <c r="H16" s="11"/>
      <c r="I16" s="11"/>
      <c r="J16" s="10" t="s">
        <v>29</v>
      </c>
    </row>
    <row r="17" spans="1:10" s="12" customFormat="1" ht="26.4" x14ac:dyDescent="0.3">
      <c r="A17" s="10" t="s">
        <v>76</v>
      </c>
      <c r="B17" s="11" t="s">
        <v>59</v>
      </c>
      <c r="C17" s="11" t="s">
        <v>77</v>
      </c>
      <c r="D17" s="11" t="s">
        <v>78</v>
      </c>
      <c r="E17" s="11" t="s">
        <v>79</v>
      </c>
      <c r="F17" s="11" t="s">
        <v>80</v>
      </c>
      <c r="G17" s="11" t="s">
        <v>81</v>
      </c>
      <c r="H17" s="11"/>
      <c r="I17" s="11"/>
      <c r="J17" s="10" t="s">
        <v>18</v>
      </c>
    </row>
    <row r="18" spans="1:10" s="12" customFormat="1" ht="26.4" x14ac:dyDescent="0.3">
      <c r="A18" s="10" t="s">
        <v>82</v>
      </c>
      <c r="B18" s="11" t="s">
        <v>59</v>
      </c>
      <c r="C18" s="11" t="s">
        <v>83</v>
      </c>
      <c r="D18" s="11" t="s">
        <v>78</v>
      </c>
      <c r="E18" s="11" t="s">
        <v>84</v>
      </c>
      <c r="F18" s="11" t="s">
        <v>85</v>
      </c>
      <c r="G18" s="11" t="s">
        <v>86</v>
      </c>
      <c r="H18" s="11"/>
      <c r="I18" s="11"/>
      <c r="J18" s="10" t="s">
        <v>48</v>
      </c>
    </row>
    <row r="19" spans="1:10" ht="52.8" x14ac:dyDescent="0.3">
      <c r="A19" s="2" t="s">
        <v>87</v>
      </c>
      <c r="B19" s="17" t="s">
        <v>88</v>
      </c>
      <c r="C19" s="3" t="s">
        <v>89</v>
      </c>
      <c r="D19" s="3" t="s">
        <v>32</v>
      </c>
      <c r="E19" s="3" t="s">
        <v>90</v>
      </c>
      <c r="F19" s="3" t="s">
        <v>91</v>
      </c>
      <c r="G19" s="3" t="s">
        <v>92</v>
      </c>
      <c r="H19" s="3"/>
      <c r="I19" s="3"/>
      <c r="J19" s="2" t="s">
        <v>18</v>
      </c>
    </row>
    <row r="20" spans="1:10" ht="39.6" x14ac:dyDescent="0.3">
      <c r="A20" s="2" t="s">
        <v>93</v>
      </c>
      <c r="B20" s="17" t="s">
        <v>88</v>
      </c>
      <c r="C20" s="3" t="s">
        <v>94</v>
      </c>
      <c r="D20" s="3" t="s">
        <v>32</v>
      </c>
      <c r="E20" s="3" t="s">
        <v>95</v>
      </c>
      <c r="F20" s="3" t="s">
        <v>96</v>
      </c>
      <c r="G20" s="3" t="s">
        <v>81</v>
      </c>
      <c r="H20" s="3"/>
      <c r="I20" s="3"/>
      <c r="J20" s="2" t="s">
        <v>29</v>
      </c>
    </row>
    <row r="21" spans="1:10" s="12" customFormat="1" ht="39.6" x14ac:dyDescent="0.3">
      <c r="A21" s="10" t="s">
        <v>97</v>
      </c>
      <c r="B21" s="18" t="s">
        <v>98</v>
      </c>
      <c r="C21" s="11" t="s">
        <v>99</v>
      </c>
      <c r="D21" s="11" t="s">
        <v>100</v>
      </c>
      <c r="E21" s="11" t="s">
        <v>101</v>
      </c>
      <c r="F21" s="11" t="s">
        <v>102</v>
      </c>
      <c r="G21" s="11" t="s">
        <v>103</v>
      </c>
      <c r="H21" s="11"/>
      <c r="I21" s="11"/>
      <c r="J21" s="10" t="s">
        <v>18</v>
      </c>
    </row>
    <row r="22" spans="1:10" s="12" customFormat="1" ht="39.6" x14ac:dyDescent="0.3">
      <c r="A22" s="10" t="s">
        <v>104</v>
      </c>
      <c r="B22" s="18" t="s">
        <v>98</v>
      </c>
      <c r="C22" s="11" t="s">
        <v>105</v>
      </c>
      <c r="D22" s="11" t="s">
        <v>106</v>
      </c>
      <c r="E22" s="11" t="s">
        <v>107</v>
      </c>
      <c r="F22" s="11" t="s">
        <v>108</v>
      </c>
      <c r="G22" s="11" t="s">
        <v>109</v>
      </c>
      <c r="H22" s="11"/>
      <c r="I22" s="11"/>
      <c r="J22" s="10" t="s">
        <v>18</v>
      </c>
    </row>
    <row r="23" spans="1:10" s="12" customFormat="1" ht="52.8" x14ac:dyDescent="0.3">
      <c r="A23" s="10" t="s">
        <v>110</v>
      </c>
      <c r="B23" s="18" t="s">
        <v>98</v>
      </c>
      <c r="C23" s="11" t="s">
        <v>111</v>
      </c>
      <c r="D23" s="11" t="s">
        <v>106</v>
      </c>
      <c r="E23" s="11" t="s">
        <v>112</v>
      </c>
      <c r="F23" s="11" t="s">
        <v>113</v>
      </c>
      <c r="G23" s="11" t="s">
        <v>114</v>
      </c>
      <c r="H23" s="11"/>
      <c r="I23" s="11"/>
      <c r="J23" s="10" t="s">
        <v>29</v>
      </c>
    </row>
    <row r="24" spans="1:10" s="12" customFormat="1" ht="39.6" x14ac:dyDescent="0.3">
      <c r="A24" s="10" t="s">
        <v>115</v>
      </c>
      <c r="B24" s="18" t="s">
        <v>98</v>
      </c>
      <c r="C24" s="11" t="s">
        <v>116</v>
      </c>
      <c r="D24" s="11" t="s">
        <v>117</v>
      </c>
      <c r="E24" s="11" t="s">
        <v>118</v>
      </c>
      <c r="F24" s="11" t="s">
        <v>119</v>
      </c>
      <c r="G24" s="11" t="s">
        <v>120</v>
      </c>
      <c r="H24" s="11"/>
      <c r="I24" s="11"/>
      <c r="J24" s="10" t="s">
        <v>29</v>
      </c>
    </row>
    <row r="25" spans="1:10" s="12" customFormat="1" ht="66" x14ac:dyDescent="0.3">
      <c r="A25" s="10" t="s">
        <v>121</v>
      </c>
      <c r="B25" s="18" t="s">
        <v>98</v>
      </c>
      <c r="C25" s="11" t="s">
        <v>122</v>
      </c>
      <c r="D25" s="11" t="s">
        <v>32</v>
      </c>
      <c r="E25" s="11" t="s">
        <v>123</v>
      </c>
      <c r="F25" s="11" t="s">
        <v>124</v>
      </c>
      <c r="G25" s="11" t="s">
        <v>125</v>
      </c>
      <c r="H25" s="11"/>
      <c r="I25" s="11"/>
      <c r="J25" s="10" t="s">
        <v>18</v>
      </c>
    </row>
    <row r="26" spans="1:10" s="12" customFormat="1" ht="26.4" x14ac:dyDescent="0.3">
      <c r="A26" s="10" t="s">
        <v>126</v>
      </c>
      <c r="B26" s="18" t="s">
        <v>98</v>
      </c>
      <c r="C26" s="11" t="s">
        <v>127</v>
      </c>
      <c r="D26" s="11" t="s">
        <v>128</v>
      </c>
      <c r="E26" s="11" t="s">
        <v>129</v>
      </c>
      <c r="F26" s="11" t="s">
        <v>130</v>
      </c>
      <c r="G26" s="11" t="s">
        <v>131</v>
      </c>
      <c r="H26" s="11"/>
      <c r="I26" s="11"/>
      <c r="J26" s="10" t="s">
        <v>18</v>
      </c>
    </row>
    <row r="27" spans="1:10" s="12" customFormat="1" ht="52.8" x14ac:dyDescent="0.3">
      <c r="A27" s="10" t="s">
        <v>132</v>
      </c>
      <c r="B27" s="18" t="s">
        <v>98</v>
      </c>
      <c r="C27" s="11" t="s">
        <v>133</v>
      </c>
      <c r="D27" s="11" t="s">
        <v>32</v>
      </c>
      <c r="E27" s="11" t="s">
        <v>134</v>
      </c>
      <c r="F27" s="11" t="s">
        <v>135</v>
      </c>
      <c r="G27" s="11" t="s">
        <v>136</v>
      </c>
      <c r="H27" s="11"/>
      <c r="I27" s="11"/>
      <c r="J27" s="10" t="s">
        <v>29</v>
      </c>
    </row>
    <row r="28" spans="1:10" ht="52.8" x14ac:dyDescent="0.3">
      <c r="A28" s="2" t="s">
        <v>137</v>
      </c>
      <c r="B28" s="17" t="s">
        <v>138</v>
      </c>
      <c r="C28" s="3" t="s">
        <v>139</v>
      </c>
      <c r="D28" s="3" t="s">
        <v>140</v>
      </c>
      <c r="E28" s="3" t="s">
        <v>141</v>
      </c>
      <c r="F28" s="3" t="s">
        <v>142</v>
      </c>
      <c r="G28" s="3" t="s">
        <v>143</v>
      </c>
      <c r="H28" s="3"/>
      <c r="I28" s="3"/>
      <c r="J28" s="2" t="s">
        <v>18</v>
      </c>
    </row>
    <row r="29" spans="1:10" ht="52.8" x14ac:dyDescent="0.3">
      <c r="A29" s="2" t="s">
        <v>144</v>
      </c>
      <c r="B29" s="17" t="s">
        <v>138</v>
      </c>
      <c r="C29" s="3" t="s">
        <v>145</v>
      </c>
      <c r="D29" s="3" t="s">
        <v>140</v>
      </c>
      <c r="E29" s="3" t="s">
        <v>146</v>
      </c>
      <c r="F29" s="3" t="s">
        <v>147</v>
      </c>
      <c r="G29" s="3" t="s">
        <v>148</v>
      </c>
      <c r="H29" s="3"/>
      <c r="I29" s="3"/>
      <c r="J29" s="2" t="s">
        <v>29</v>
      </c>
    </row>
    <row r="30" spans="1:10" ht="52.8" x14ac:dyDescent="0.3">
      <c r="A30" s="2" t="s">
        <v>149</v>
      </c>
      <c r="B30" s="17" t="s">
        <v>138</v>
      </c>
      <c r="C30" s="3" t="s">
        <v>150</v>
      </c>
      <c r="D30" s="3" t="s">
        <v>151</v>
      </c>
      <c r="E30" s="3" t="s">
        <v>152</v>
      </c>
      <c r="F30" s="3" t="s">
        <v>153</v>
      </c>
      <c r="G30" s="3" t="s">
        <v>154</v>
      </c>
      <c r="H30" s="3"/>
      <c r="I30" s="3"/>
      <c r="J30" s="2" t="s">
        <v>18</v>
      </c>
    </row>
    <row r="31" spans="1:10" ht="52.8" x14ac:dyDescent="0.3">
      <c r="A31" s="2" t="s">
        <v>155</v>
      </c>
      <c r="B31" s="17" t="s">
        <v>138</v>
      </c>
      <c r="C31" s="3" t="s">
        <v>156</v>
      </c>
      <c r="D31" s="3" t="s">
        <v>140</v>
      </c>
      <c r="E31" s="3" t="s">
        <v>157</v>
      </c>
      <c r="F31" s="3" t="s">
        <v>158</v>
      </c>
      <c r="G31" s="3" t="s">
        <v>159</v>
      </c>
      <c r="H31" s="3"/>
      <c r="I31" s="3"/>
      <c r="J31" s="2" t="s">
        <v>29</v>
      </c>
    </row>
    <row r="32" spans="1:10" ht="39.6" x14ac:dyDescent="0.3">
      <c r="A32" s="2" t="s">
        <v>160</v>
      </c>
      <c r="B32" s="17" t="s">
        <v>138</v>
      </c>
      <c r="C32" s="3" t="s">
        <v>161</v>
      </c>
      <c r="D32" s="3" t="s">
        <v>162</v>
      </c>
      <c r="E32" s="3" t="s">
        <v>163</v>
      </c>
      <c r="F32" s="3" t="s">
        <v>164</v>
      </c>
      <c r="G32" s="3" t="s">
        <v>165</v>
      </c>
      <c r="H32" s="3"/>
      <c r="I32" s="3"/>
      <c r="J32" s="2" t="s">
        <v>29</v>
      </c>
    </row>
    <row r="33" spans="1:10" ht="39.6" x14ac:dyDescent="0.3">
      <c r="A33" s="2" t="s">
        <v>166</v>
      </c>
      <c r="B33" s="17" t="s">
        <v>138</v>
      </c>
      <c r="C33" s="3" t="s">
        <v>167</v>
      </c>
      <c r="D33" s="3" t="s">
        <v>168</v>
      </c>
      <c r="E33" s="3" t="s">
        <v>169</v>
      </c>
      <c r="F33" s="3" t="s">
        <v>170</v>
      </c>
      <c r="G33" s="3" t="s">
        <v>171</v>
      </c>
      <c r="H33" s="3"/>
      <c r="I33" s="3"/>
      <c r="J33" s="2" t="s">
        <v>18</v>
      </c>
    </row>
    <row r="34" spans="1:10" ht="52.8" x14ac:dyDescent="0.3">
      <c r="A34" s="2" t="s">
        <v>172</v>
      </c>
      <c r="B34" s="17" t="s">
        <v>138</v>
      </c>
      <c r="C34" s="3" t="s">
        <v>173</v>
      </c>
      <c r="D34" s="3" t="s">
        <v>174</v>
      </c>
      <c r="E34" s="3" t="s">
        <v>175</v>
      </c>
      <c r="F34" s="3" t="s">
        <v>176</v>
      </c>
      <c r="G34" s="3" t="s">
        <v>177</v>
      </c>
      <c r="H34" s="3"/>
      <c r="I34" s="3"/>
      <c r="J34" s="2" t="s">
        <v>18</v>
      </c>
    </row>
    <row r="35" spans="1:10" ht="39.6" x14ac:dyDescent="0.3">
      <c r="A35" s="2" t="s">
        <v>178</v>
      </c>
      <c r="B35" s="17" t="s">
        <v>138</v>
      </c>
      <c r="C35" s="3" t="s">
        <v>179</v>
      </c>
      <c r="D35" s="3" t="s">
        <v>162</v>
      </c>
      <c r="E35" s="3" t="s">
        <v>180</v>
      </c>
      <c r="F35" s="3" t="s">
        <v>170</v>
      </c>
      <c r="G35" s="3" t="s">
        <v>181</v>
      </c>
      <c r="H35" s="3"/>
      <c r="I35" s="3"/>
      <c r="J35" s="2" t="s">
        <v>29</v>
      </c>
    </row>
  </sheetData>
  <autoFilter ref="A4:J35" xr:uid="{00000000-0009-0000-0000-000000000000}"/>
  <mergeCells count="2">
    <mergeCell ref="A1:D1"/>
    <mergeCell ref="A2:B2"/>
  </mergeCells>
  <dataValidations count="1">
    <dataValidation type="list" allowBlank="1" sqref="J5:J35" xr:uid="{00000000-0002-0000-0000-000001000000}">
      <formula1>"High,Medium,Low"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Normal="100" workbookViewId="0"/>
  </sheetViews>
  <sheetFormatPr defaultColWidth="8.6640625" defaultRowHeight="14.4" x14ac:dyDescent="0.3"/>
  <cols>
    <col min="1" max="1" width="40" customWidth="1"/>
    <col min="2" max="6" width="15" customWidth="1"/>
  </cols>
  <sheetData>
    <row r="1" spans="1:6" ht="15.6" x14ac:dyDescent="0.3">
      <c r="A1" s="1" t="s">
        <v>182</v>
      </c>
    </row>
    <row r="3" spans="1:6" x14ac:dyDescent="0.3">
      <c r="A3" s="4" t="s">
        <v>183</v>
      </c>
      <c r="B3" s="4" t="s">
        <v>184</v>
      </c>
      <c r="C3" s="4" t="s">
        <v>17</v>
      </c>
      <c r="D3" s="4" t="s">
        <v>185</v>
      </c>
      <c r="E3" s="4" t="s">
        <v>186</v>
      </c>
      <c r="F3" s="4" t="s">
        <v>187</v>
      </c>
    </row>
    <row r="4" spans="1:6" x14ac:dyDescent="0.3">
      <c r="A4" s="5" t="s">
        <v>11</v>
      </c>
      <c r="B4" s="6">
        <f>COUNTIF('Test Cases'!$B$5:$B$35,A4)</f>
        <v>9</v>
      </c>
      <c r="C4" s="6" t="e">
        <f>COUNTIFS('Test Cases'!$B$5:$B$35,$A4,'Test Cases'!#REF!,"Not Executed")</f>
        <v>#REF!</v>
      </c>
      <c r="D4" s="6" t="e">
        <f>COUNTIFS('Test Cases'!$B$5:$B$35,$A4,'Test Cases'!#REF!,"Pass")</f>
        <v>#REF!</v>
      </c>
      <c r="E4" s="6" t="e">
        <f>COUNTIFS('Test Cases'!$B$5:$B$35,$A4,'Test Cases'!#REF!,"Fail")</f>
        <v>#REF!</v>
      </c>
      <c r="F4" s="6" t="e">
        <f>COUNTIFS('Test Cases'!$B$5:$B$35,$A4,'Test Cases'!#REF!,"Blocked")</f>
        <v>#REF!</v>
      </c>
    </row>
    <row r="5" spans="1:6" x14ac:dyDescent="0.3">
      <c r="A5" s="5" t="s">
        <v>59</v>
      </c>
      <c r="B5" s="6">
        <f>COUNTIF('Test Cases'!$B$5:$B$35,A5)</f>
        <v>5</v>
      </c>
      <c r="C5" s="6" t="e">
        <f>COUNTIFS('Test Cases'!$B$5:$B$35,$A5,'Test Cases'!#REF!,"Not Executed")</f>
        <v>#REF!</v>
      </c>
      <c r="D5" s="6" t="e">
        <f>COUNTIFS('Test Cases'!$B$5:$B$35,$A5,'Test Cases'!#REF!,"Pass")</f>
        <v>#REF!</v>
      </c>
      <c r="E5" s="6" t="e">
        <f>COUNTIFS('Test Cases'!$B$5:$B$35,$A5,'Test Cases'!#REF!,"Fail")</f>
        <v>#REF!</v>
      </c>
      <c r="F5" s="6" t="e">
        <f>COUNTIFS('Test Cases'!$B$5:$B$35,$A5,'Test Cases'!#REF!,"Blocked")</f>
        <v>#REF!</v>
      </c>
    </row>
    <row r="6" spans="1:6" x14ac:dyDescent="0.3">
      <c r="A6" s="5" t="s">
        <v>88</v>
      </c>
      <c r="B6" s="6">
        <f>COUNTIF('Test Cases'!$B$5:$B$35,A6)</f>
        <v>2</v>
      </c>
      <c r="C6" s="6" t="e">
        <f>COUNTIFS('Test Cases'!$B$5:$B$35,$A6,'Test Cases'!#REF!,"Not Executed")</f>
        <v>#REF!</v>
      </c>
      <c r="D6" s="6" t="e">
        <f>COUNTIFS('Test Cases'!$B$5:$B$35,$A6,'Test Cases'!#REF!,"Pass")</f>
        <v>#REF!</v>
      </c>
      <c r="E6" s="6" t="e">
        <f>COUNTIFS('Test Cases'!$B$5:$B$35,$A6,'Test Cases'!#REF!,"Fail")</f>
        <v>#REF!</v>
      </c>
      <c r="F6" s="6" t="e">
        <f>COUNTIFS('Test Cases'!$B$5:$B$35,$A6,'Test Cases'!#REF!,"Blocked")</f>
        <v>#REF!</v>
      </c>
    </row>
    <row r="7" spans="1:6" x14ac:dyDescent="0.3">
      <c r="A7" s="5" t="s">
        <v>98</v>
      </c>
      <c r="B7" s="6">
        <f>COUNTIF('Test Cases'!$B$5:$B$35,A7)</f>
        <v>7</v>
      </c>
      <c r="C7" s="6" t="e">
        <f>COUNTIFS('Test Cases'!$B$5:$B$35,$A7,'Test Cases'!#REF!,"Not Executed")</f>
        <v>#REF!</v>
      </c>
      <c r="D7" s="6" t="e">
        <f>COUNTIFS('Test Cases'!$B$5:$B$35,$A7,'Test Cases'!#REF!,"Pass")</f>
        <v>#REF!</v>
      </c>
      <c r="E7" s="6" t="e">
        <f>COUNTIFS('Test Cases'!$B$5:$B$35,$A7,'Test Cases'!#REF!,"Fail")</f>
        <v>#REF!</v>
      </c>
      <c r="F7" s="6" t="e">
        <f>COUNTIFS('Test Cases'!$B$5:$B$35,$A7,'Test Cases'!#REF!,"Blocked")</f>
        <v>#REF!</v>
      </c>
    </row>
    <row r="8" spans="1:6" x14ac:dyDescent="0.3">
      <c r="A8" s="5" t="s">
        <v>138</v>
      </c>
      <c r="B8" s="6">
        <f>COUNTIF('Test Cases'!$B$5:$B$35,A8)</f>
        <v>8</v>
      </c>
      <c r="C8" s="6" t="e">
        <f>COUNTIFS('Test Cases'!$B$5:$B$35,$A8,'Test Cases'!#REF!,"Not Executed")</f>
        <v>#REF!</v>
      </c>
      <c r="D8" s="6" t="e">
        <f>COUNTIFS('Test Cases'!$B$5:$B$35,$A8,'Test Cases'!#REF!,"Pass")</f>
        <v>#REF!</v>
      </c>
      <c r="E8" s="6" t="e">
        <f>COUNTIFS('Test Cases'!$B$5:$B$35,$A8,'Test Cases'!#REF!,"Fail")</f>
        <v>#REF!</v>
      </c>
      <c r="F8" s="6" t="e">
        <f>COUNTIFS('Test Cases'!$B$5:$B$35,$A8,'Test Cases'!#REF!,"Blocked")</f>
        <v>#REF!</v>
      </c>
    </row>
    <row r="9" spans="1:6" x14ac:dyDescent="0.3">
      <c r="A9" s="7" t="s">
        <v>184</v>
      </c>
      <c r="B9" s="8">
        <f>SUM(B4:B8)</f>
        <v>31</v>
      </c>
      <c r="C9" s="8" t="e">
        <f>SUM(C4:C8)</f>
        <v>#REF!</v>
      </c>
      <c r="D9" s="8" t="e">
        <f>SUM(D4:D8)</f>
        <v>#REF!</v>
      </c>
      <c r="E9" s="8" t="e">
        <f>SUM(E4:E8)</f>
        <v>#REF!</v>
      </c>
      <c r="F9" s="8" t="e">
        <f>SUM(F4:F8)</f>
        <v>#REF!</v>
      </c>
    </row>
    <row r="11" spans="1:6" x14ac:dyDescent="0.3">
      <c r="A11" s="9" t="s">
        <v>188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Test Cases</vt:lpstr>
      <vt:lpstr>Summary</vt:lpstr>
      <vt:lpstr>'Test Cases'!Print_Titles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meghashri412@outlook.com</cp:lastModifiedBy>
  <cp:revision>0</cp:revision>
  <dcterms:created xsi:type="dcterms:W3CDTF">2026-10-29T08:01:00Z</dcterms:created>
  <dcterms:modified xsi:type="dcterms:W3CDTF">2026-10-29T08:23:39Z</dcterms:modified>
  <dc:language>en-US</dc:language>
</cp:coreProperties>
</file>